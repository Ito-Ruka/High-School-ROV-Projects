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437BA7AF042DC6/College Application/"/>
    </mc:Choice>
  </mc:AlternateContent>
  <xr:revisionPtr revIDLastSave="0" documentId="8_{8861F8F5-CE4A-4F5B-9F11-C76723515574}" xr6:coauthVersionLast="47" xr6:coauthVersionMax="47" xr10:uidLastSave="{00000000-0000-0000-0000-000000000000}"/>
  <bookViews>
    <workbookView xWindow="-110" yWindow="-110" windowWidth="25820" windowHeight="15500" xr2:uid="{E57E92EF-1CBE-EB40-BA08-924CF36E9605}"/>
  </bookViews>
  <sheets>
    <sheet name="Oct 26, 2025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</calcChain>
</file>

<file path=xl/sharedStrings.xml><?xml version="1.0" encoding="utf-8"?>
<sst xmlns="http://schemas.openxmlformats.org/spreadsheetml/2006/main" count="44" uniqueCount="43">
  <si>
    <t>DigiKey</t>
  </si>
  <si>
    <t>Quantity</t>
  </si>
  <si>
    <t>Part Number (Digi Key)</t>
  </si>
  <si>
    <t>Link</t>
  </si>
  <si>
    <t>Description</t>
  </si>
  <si>
    <t>Unit Price</t>
  </si>
  <si>
    <t>Extended Price USD</t>
  </si>
  <si>
    <t>102-6135-ND</t>
  </si>
  <si>
    <t>https://www.digikey.com/en/products/detail/same-sky-formerly-cui-devices/TB001-500-03BE/10064059</t>
  </si>
  <si>
    <t>TERMINAL BLOCK, SCREW TYPE, 5.00</t>
  </si>
  <si>
    <t>102-6145-ND</t>
  </si>
  <si>
    <t>https://www.digikey.com/en/products/detail/same-sky-formerly-cui-devices/TB002-500-02BE/10064069</t>
  </si>
  <si>
    <t>1297-1110-1-ND</t>
  </si>
  <si>
    <t>https://www.digikey.com/en/products/detail/würth-elektronik/691709710304/4725707?s=N4IgTCBcDaIIxgJwHYC0cMAZ2oHIBEQBdAXyA</t>
  </si>
  <si>
    <t>TERM BLK 4POS SIDE ENTRY 5MM SMD</t>
  </si>
  <si>
    <t>1297-1109-1-ND</t>
  </si>
  <si>
    <t>https://www.digikey.com/en/products/detail/würth-elektronik/691709710303/4725704?s=N4IgTCBcDaIIxgJwHYC0c4AZHtQOQBEQBdAXyA</t>
  </si>
  <si>
    <t>TERM BLK 3POS SIDE ENTRY 5MM SMD</t>
  </si>
  <si>
    <t>102-TBLH10V-350-12BK-ND</t>
  </si>
  <si>
    <t>https://www.digikey.com/en/products/detail/same-sky-formerly-cui-devices/TBLH10V-350-12BK/10442015?s=N4IgTCBcDaIIwAYwFoAqAhAMgCUQNWQGYBWBZOMdAaWQDkAREAXQF8g</t>
  </si>
  <si>
    <t>TERMINAL BLOCK, SCREWLESS, HIGH</t>
  </si>
  <si>
    <t>A31435-ND</t>
  </si>
  <si>
    <t>https://www.digikey.com/en/products/detail/te-connectivity-amp-connectors/5555140-1/769579?s=N4IgTCBcDaIIIGYCMAWBBWAtAOQCIgF0BfIA</t>
  </si>
  <si>
    <t>CONN MOD JACK 6P6C R/A SHIELDED</t>
  </si>
  <si>
    <t>36-3568-15-ND</t>
  </si>
  <si>
    <t>https://www.digikey.com/en/products/detail/keystone-electronics/3568-15/9921800?s=N4IgTCBcDaIMwDYC0cCsCAcSCMqkDkAREAXQF8g</t>
  </si>
  <si>
    <t>FUSE SOCKET (BLUE)</t>
  </si>
  <si>
    <t>CKC5106-ND</t>
  </si>
  <si>
    <t>https://www.digikey.com/en/products/detail/c-k/L101011MS02Q/484142?s=N4IgTCBcDaIMIGk4FYCMAGAbAWgHIBEQBdAXyA</t>
  </si>
  <si>
    <t>SWITCH SLIDE SPST 4A 125V</t>
  </si>
  <si>
    <t>Z5195-ND</t>
  </si>
  <si>
    <t>https://www.digikey.com/en/products/detail/omron-electronics-inc-emc-div/A6TN-1104/2754763</t>
  </si>
  <si>
    <t>SWITCH SLIDE DIP SPST 0.025A 24V</t>
  </si>
  <si>
    <t>2946-2606-1102-ND</t>
  </si>
  <si>
    <t>https://www.digikey.com/en/products/detail/wago-corporation/2606-1102/15575098?s=N4IgTCBcDa4JwBYBsBaMSAMqCM2NhQDkAREAXQF8g</t>
  </si>
  <si>
    <t>PCB TERMINAL BLOCK; LEVER; 6 MM;</t>
  </si>
  <si>
    <t>1297-1108-1-ND</t>
  </si>
  <si>
    <t>https://www.digikey.com/en/products/detail/würth-elektronik/691709710302/4725701</t>
  </si>
  <si>
    <t>TERM BLK 2POS SIDE ENTRY 5MM SMD</t>
  </si>
  <si>
    <t>1849-1250-ND</t>
  </si>
  <si>
    <t>https://www.digikey.com/en/products/detail/metz-connect-usa-inc/360410/9462530</t>
  </si>
  <si>
    <t>TERM BLOCK 1POS SIDE ENTRY PCB</t>
  </si>
  <si>
    <t>SUM: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</si>
</sst>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18" fillId="0" borderId="10" xfId="43" applyBorder="1"/>
    <xf numFmtId="44" fontId="0" fillId="0" borderId="10" xfId="1" applyFont="1" applyBorder="1"/>
    <xf numFmtId="0" fontId="19" fillId="0" borderId="0" xfId="0" applyFont="1"/>
    <xf numFmtId="44" fontId="0" fillId="0" borderId="0" xfId="0" applyNumberFormat="1"/>
    <xf numFmtId="0" fontId="18" fillId="0" borderId="0" xfId="43" applyBorder="1"/>
    <xf numFmtId="44" fontId="0" fillId="0" borderId="0" xfId="1" applyFont="1" applyBorder="1"/>
    <xf numFmtId="0" fontId="20" fillId="0" borderId="0" xfId="0" applyFont="1"/>
    <xf numFmtId="0" fontId="21" fillId="0" borderId="0" xfId="0" applyFont="1"/>
    <xf numFmtId="0" fontId="21" fillId="0" borderId="10" xfId="0" applyFont="1" applyBorder="1"/>
    <xf numFmtId="0" fontId="0" fillId="0" borderId="10" xfId="0" applyBorder="1">
      <extLst>
        <ext xmlns:xfpb="http://schemas.microsoft.com/office/spreadsheetml/2022/featurepropertybag" uri="{C7286773-470A-42A8-94C5-96B5CB345126}">
          <xfpb:xfComplement i="0"/>
        </ext>
      </extLst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3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omron-electronics-inc-emc-div/A6TN-1104/2754763" TargetMode="External"/><Relationship Id="rId3" Type="http://schemas.openxmlformats.org/officeDocument/2006/relationships/hyperlink" Target="https://www.digikey.com/en/products/detail/w&#252;rth-elektronik/691709710303/4725704?s=N4IgTCBcDaIIxgJwHYC0c4AZHtQOQBEQBdAXyA" TargetMode="External"/><Relationship Id="rId7" Type="http://schemas.openxmlformats.org/officeDocument/2006/relationships/hyperlink" Target="https://www.digikey.com/en/products/detail/c-k/L101011MS02Q/484142?s=N4IgTCBcDaIMIGk4FYCMAGAbAWgHIBEQBdAXyA" TargetMode="External"/><Relationship Id="rId12" Type="http://schemas.openxmlformats.org/officeDocument/2006/relationships/hyperlink" Target="https://www.digikey.com/en/products/detail/same-sky-formerly-cui-devices/TB001-500-03BE/10064059" TargetMode="External"/><Relationship Id="rId2" Type="http://schemas.openxmlformats.org/officeDocument/2006/relationships/hyperlink" Target="https://www.digikey.com/en/products/detail/w&#252;rth-elektronik/691709710304/4725707?s=N4IgTCBcDaIIxgJwHYC0cMAZ2oHIBEQBdAXyA" TargetMode="External"/><Relationship Id="rId1" Type="http://schemas.openxmlformats.org/officeDocument/2006/relationships/hyperlink" Target="https://www.digikey.com/en/products/detail/same-sky-formerly-cui-devices/TB002-500-02BE/10064069" TargetMode="External"/><Relationship Id="rId6" Type="http://schemas.openxmlformats.org/officeDocument/2006/relationships/hyperlink" Target="https://www.digikey.com/en/products/detail/keystone-electronics/3568-15/9921800?s=N4IgTCBcDaIMwDYC0cCsCAcSCMqkDkAREAXQF8g" TargetMode="External"/><Relationship Id="rId11" Type="http://schemas.openxmlformats.org/officeDocument/2006/relationships/hyperlink" Target="https://www.digikey.com/en/products/detail/metz-connect-usa-inc/360410/9462530" TargetMode="External"/><Relationship Id="rId5" Type="http://schemas.openxmlformats.org/officeDocument/2006/relationships/hyperlink" Target="https://www.digikey.com/en/products/detail/te-connectivity-amp-connectors/5555140-1/769579?s=N4IgTCBcDaIIIGYCMAWBBWAtAOQCIgF0BfIA" TargetMode="External"/><Relationship Id="rId10" Type="http://schemas.openxmlformats.org/officeDocument/2006/relationships/hyperlink" Target="https://www.digikey.com/en/products/detail/w&#252;rth-elektronik/691709710302/4725701" TargetMode="External"/><Relationship Id="rId4" Type="http://schemas.openxmlformats.org/officeDocument/2006/relationships/hyperlink" Target="https://www.digikey.com/en/products/detail/same-sky-formerly-cui-devices/TBLH10V-350-12BK/10442015?s=N4IgTCBcDaIIwAYwFoAqAhAMgCUQNWQGYBWBZOMdAaWQDkAREAXQF8g" TargetMode="External"/><Relationship Id="rId9" Type="http://schemas.openxmlformats.org/officeDocument/2006/relationships/hyperlink" Target="https://www.digikey.com/en/products/detail/wago-corporation/2606-1102/15575098?s=N4IgTCBcDa4JwBYBsBaMSAMqCM2NhQDkAREAXQF8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A6CFE-22D4-5142-A977-9E9A4672E630}">
  <dimension ref="A1:G17"/>
  <sheetViews>
    <sheetView tabSelected="1" workbookViewId="0">
      <selection activeCell="C25" sqref="C25"/>
    </sheetView>
  </sheetViews>
  <sheetFormatPr defaultColWidth="11" defaultRowHeight="16" x14ac:dyDescent="0.4"/>
  <cols>
    <col min="2" max="2" width="8.08203125" bestFit="1" customWidth="1"/>
    <col min="3" max="3" width="24.08203125" bestFit="1" customWidth="1"/>
    <col min="4" max="4" width="23" bestFit="1" customWidth="1"/>
    <col min="5" max="5" width="32.58203125" bestFit="1" customWidth="1"/>
    <col min="6" max="6" width="9" bestFit="1" customWidth="1"/>
    <col min="7" max="7" width="17.08203125" bestFit="1" customWidth="1"/>
  </cols>
  <sheetData>
    <row r="1" spans="1:7" x14ac:dyDescent="0.4">
      <c r="B1" s="4" t="s">
        <v>0</v>
      </c>
    </row>
    <row r="2" spans="1:7" x14ac:dyDescent="0.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4">
      <c r="A3" s="11" t="b">
        <v>0</v>
      </c>
      <c r="B3" s="1">
        <v>20</v>
      </c>
      <c r="C3" s="1" t="s">
        <v>7</v>
      </c>
      <c r="D3" s="2" t="s">
        <v>8</v>
      </c>
      <c r="E3" s="1" t="s">
        <v>9</v>
      </c>
      <c r="F3" s="3">
        <v>0.47599999999999998</v>
      </c>
      <c r="G3" s="3">
        <f>F3*B3</f>
        <v>9.52</v>
      </c>
    </row>
    <row r="4" spans="1:7" x14ac:dyDescent="0.4">
      <c r="A4" s="11" t="b">
        <v>0</v>
      </c>
      <c r="B4" s="1">
        <v>20</v>
      </c>
      <c r="C4" s="1" t="s">
        <v>10</v>
      </c>
      <c r="D4" s="2" t="s">
        <v>11</v>
      </c>
      <c r="E4" s="1" t="s">
        <v>9</v>
      </c>
      <c r="F4" s="3">
        <v>0.30599999999999999</v>
      </c>
      <c r="G4" s="3">
        <f t="shared" ref="G4:G14" si="0">F4*B4</f>
        <v>6.12</v>
      </c>
    </row>
    <row r="5" spans="1:7" x14ac:dyDescent="0.4">
      <c r="A5" s="11" t="b">
        <v>0</v>
      </c>
      <c r="B5" s="1">
        <v>6</v>
      </c>
      <c r="C5" s="1" t="s">
        <v>12</v>
      </c>
      <c r="D5" s="2" t="s">
        <v>13</v>
      </c>
      <c r="E5" s="1" t="s">
        <v>14</v>
      </c>
      <c r="F5" s="3">
        <v>5.25</v>
      </c>
      <c r="G5" s="3">
        <f t="shared" si="0"/>
        <v>31.5</v>
      </c>
    </row>
    <row r="6" spans="1:7" x14ac:dyDescent="0.4">
      <c r="A6" s="11" t="b">
        <v>0</v>
      </c>
      <c r="B6" s="1">
        <v>6</v>
      </c>
      <c r="C6" s="1" t="s">
        <v>15</v>
      </c>
      <c r="D6" s="2" t="s">
        <v>16</v>
      </c>
      <c r="E6" s="1" t="s">
        <v>17</v>
      </c>
      <c r="F6" s="3">
        <v>3.87</v>
      </c>
      <c r="G6" s="3">
        <f t="shared" si="0"/>
        <v>23.22</v>
      </c>
    </row>
    <row r="7" spans="1:7" x14ac:dyDescent="0.4">
      <c r="A7" s="11" t="b">
        <v>0</v>
      </c>
      <c r="B7" s="1">
        <v>2</v>
      </c>
      <c r="C7" s="1" t="s">
        <v>18</v>
      </c>
      <c r="D7" s="2" t="s">
        <v>19</v>
      </c>
      <c r="E7" s="1" t="s">
        <v>20</v>
      </c>
      <c r="F7" s="3">
        <v>4.5999999999999996</v>
      </c>
      <c r="G7" s="3">
        <f t="shared" si="0"/>
        <v>9.1999999999999993</v>
      </c>
    </row>
    <row r="8" spans="1:7" x14ac:dyDescent="0.4">
      <c r="A8" s="11" t="b">
        <v>0</v>
      </c>
      <c r="B8" s="1">
        <v>6</v>
      </c>
      <c r="C8" s="1" t="s">
        <v>21</v>
      </c>
      <c r="D8" s="2" t="s">
        <v>22</v>
      </c>
      <c r="E8" s="1" t="s">
        <v>23</v>
      </c>
      <c r="F8" s="3">
        <v>1.88</v>
      </c>
      <c r="G8" s="3">
        <f t="shared" si="0"/>
        <v>11.28</v>
      </c>
    </row>
    <row r="9" spans="1:7" x14ac:dyDescent="0.4">
      <c r="A9" s="11" t="b">
        <v>0</v>
      </c>
      <c r="B9" s="1">
        <v>10</v>
      </c>
      <c r="C9" s="1" t="s">
        <v>24</v>
      </c>
      <c r="D9" s="2" t="s">
        <v>25</v>
      </c>
      <c r="E9" s="1" t="s">
        <v>26</v>
      </c>
      <c r="F9" s="3">
        <v>0.997</v>
      </c>
      <c r="G9" s="3">
        <f t="shared" si="0"/>
        <v>9.9700000000000006</v>
      </c>
    </row>
    <row r="10" spans="1:7" x14ac:dyDescent="0.4">
      <c r="A10" s="11" t="b">
        <v>0</v>
      </c>
      <c r="B10" s="1">
        <v>6</v>
      </c>
      <c r="C10" s="1" t="s">
        <v>27</v>
      </c>
      <c r="D10" s="2" t="s">
        <v>28</v>
      </c>
      <c r="E10" s="1" t="s">
        <v>29</v>
      </c>
      <c r="F10" s="3">
        <v>3.53</v>
      </c>
      <c r="G10" s="3">
        <f t="shared" si="0"/>
        <v>21.18</v>
      </c>
    </row>
    <row r="11" spans="1:7" x14ac:dyDescent="0.4">
      <c r="A11" s="11" t="b">
        <v>0</v>
      </c>
      <c r="B11" s="1">
        <v>4</v>
      </c>
      <c r="C11" s="1" t="s">
        <v>30</v>
      </c>
      <c r="D11" s="2" t="s">
        <v>31</v>
      </c>
      <c r="E11" s="1" t="s">
        <v>32</v>
      </c>
      <c r="F11" s="3">
        <v>0.96</v>
      </c>
      <c r="G11" s="3">
        <f t="shared" si="0"/>
        <v>3.84</v>
      </c>
    </row>
    <row r="12" spans="1:7" x14ac:dyDescent="0.4">
      <c r="A12" s="11" t="b">
        <v>0</v>
      </c>
      <c r="B12" s="1">
        <v>4</v>
      </c>
      <c r="C12" s="1" t="s">
        <v>33</v>
      </c>
      <c r="D12" s="2" t="s">
        <v>34</v>
      </c>
      <c r="E12" s="1" t="s">
        <v>35</v>
      </c>
      <c r="F12" s="3">
        <v>7.11</v>
      </c>
      <c r="G12" s="3">
        <f t="shared" si="0"/>
        <v>28.44</v>
      </c>
    </row>
    <row r="13" spans="1:7" x14ac:dyDescent="0.4">
      <c r="A13" s="11" t="b">
        <v>0</v>
      </c>
      <c r="B13" s="1">
        <v>10</v>
      </c>
      <c r="C13" s="1" t="s">
        <v>36</v>
      </c>
      <c r="D13" s="2" t="s">
        <v>37</v>
      </c>
      <c r="E13" s="1" t="s">
        <v>38</v>
      </c>
      <c r="F13" s="3">
        <v>2.6389999999999998</v>
      </c>
      <c r="G13" s="3">
        <f t="shared" si="0"/>
        <v>26.389999999999997</v>
      </c>
    </row>
    <row r="14" spans="1:7" x14ac:dyDescent="0.4">
      <c r="A14" s="11" t="b">
        <v>0</v>
      </c>
      <c r="B14" s="1">
        <v>2</v>
      </c>
      <c r="C14" s="10" t="s">
        <v>39</v>
      </c>
      <c r="D14" s="2" t="s">
        <v>40</v>
      </c>
      <c r="E14" s="8" t="s">
        <v>41</v>
      </c>
      <c r="F14" s="3">
        <v>0.8</v>
      </c>
      <c r="G14" s="3">
        <f t="shared" si="0"/>
        <v>1.6</v>
      </c>
    </row>
    <row r="15" spans="1:7" x14ac:dyDescent="0.4">
      <c r="C15" s="9"/>
      <c r="D15" s="6"/>
      <c r="E15" s="8"/>
      <c r="F15" s="7" t="s">
        <v>42</v>
      </c>
      <c r="G15" s="7">
        <f>SUM(G3:G14)</f>
        <v>182.26</v>
      </c>
    </row>
    <row r="16" spans="1:7" x14ac:dyDescent="0.4">
      <c r="G16" s="5"/>
    </row>
    <row r="17" spans="6:7" x14ac:dyDescent="0.4">
      <c r="F17" s="7"/>
      <c r="G17" s="5"/>
    </row>
  </sheetData>
  <hyperlinks>
    <hyperlink ref="D4" r:id="rId1" xr:uid="{488E916C-912D-D54E-9746-921E5839D44D}"/>
    <hyperlink ref="D5" r:id="rId2" xr:uid="{84FF8B5C-209C-D14C-BBF5-ED510FE4E592}"/>
    <hyperlink ref="D6" r:id="rId3" xr:uid="{AFE19D98-7164-DF43-B784-769CEB5EF95A}"/>
    <hyperlink ref="D7" r:id="rId4" xr:uid="{A2815C7C-6B6F-0C4E-B5E5-3F20E5E92333}"/>
    <hyperlink ref="D8" r:id="rId5" xr:uid="{7E79529A-59F0-E341-B12E-A190C3777F10}"/>
    <hyperlink ref="D9" r:id="rId6" xr:uid="{09EDE9AE-73F5-F544-BBBE-999AF3910DA0}"/>
    <hyperlink ref="D10" r:id="rId7" xr:uid="{2E98D51F-974F-EF45-9DEB-91D92277EE8B}"/>
    <hyperlink ref="D11" r:id="rId8" xr:uid="{4FC24AFF-C049-074F-83EE-9AB0C77588D6}"/>
    <hyperlink ref="D12" r:id="rId9" xr:uid="{F300F57D-F00F-E445-9765-34187E414869}"/>
    <hyperlink ref="D13" r:id="rId10" xr:uid="{3C036E4B-18A4-E34A-B2C4-5142B27939A1}"/>
    <hyperlink ref="D14" r:id="rId11" xr:uid="{17AB69FE-9FA3-474C-B2CE-FD90D918C85C}"/>
    <hyperlink ref="D3" r:id="rId12" xr:uid="{090708C7-0462-4A16-8AD5-73C4DBC6E74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 26,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Ruka Ito</dc:creator>
  <cp:keywords/>
  <dc:description/>
  <cp:lastModifiedBy>Ruka Ito</cp:lastModifiedBy>
  <cp:revision/>
  <dcterms:created xsi:type="dcterms:W3CDTF">2025-10-27T03:26:48Z</dcterms:created>
  <dcterms:modified xsi:type="dcterms:W3CDTF">2026-09-15T07:16:46Z</dcterms:modified>
  <cp:category/>
  <cp:contentStatus/>
</cp:coreProperties>
</file>